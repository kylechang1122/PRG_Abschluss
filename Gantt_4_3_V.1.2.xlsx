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codeName="ThisWorkbook"/>
  <bookViews>
    <workbookView xWindow="396" yWindow="396" windowWidth="23952" windowHeight="14388"/>
  </bookViews>
  <sheets>
    <sheet name="ProjectSchedule" sheetId="11" r:id="rId1"/>
    <sheet name="About" sheetId="12" r:id="rId2"/>
  </sheets>
  <definedNames>
    <definedName name="_xlnm.Print_Area" localSheetId="0">ProjectSchedule!$1:$38</definedName>
    <definedName name="_xlnm.Print_Titles" localSheetId="0">ProjectSchedule!$4:$7</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8" i="11"/>
  <c r="H37"/>
  <c r="H36"/>
  <c r="H18"/>
  <c r="H17"/>
  <c r="E3" l="1"/>
  <c r="B13" i="12" l="1"/>
  <c r="J1" i="11"/>
  <c r="H35" l="1"/>
  <c r="H34"/>
  <c r="H33"/>
  <c r="H32"/>
  <c r="H31"/>
  <c r="H30"/>
  <c r="H29"/>
  <c r="H28"/>
  <c r="H27"/>
  <c r="H26"/>
  <c r="H25"/>
  <c r="H24"/>
  <c r="H23"/>
  <c r="H22"/>
  <c r="H21"/>
  <c r="H19"/>
  <c r="H16"/>
  <c r="H15"/>
  <c r="H14"/>
  <c r="H13"/>
  <c r="H12"/>
  <c r="H11"/>
  <c r="H10"/>
  <c r="H9"/>
  <c r="H8"/>
  <c r="I6" l="1"/>
  <c r="I7" l="1"/>
  <c r="J6" l="1"/>
  <c r="K6" s="1"/>
  <c r="L6" s="1"/>
  <c r="M6" s="1"/>
  <c r="N6" s="1"/>
  <c r="O6" s="1"/>
  <c r="P6" s="1"/>
  <c r="I4"/>
  <c r="P4" l="1"/>
  <c r="Q6"/>
  <c r="R6" s="1"/>
  <c r="S6" s="1"/>
  <c r="T6" s="1"/>
  <c r="U6" s="1"/>
  <c r="V6" s="1"/>
  <c r="W6" s="1"/>
  <c r="J7"/>
  <c r="W4" l="1"/>
  <c r="X6"/>
  <c r="Y6" s="1"/>
  <c r="Z6" s="1"/>
  <c r="AA6" s="1"/>
  <c r="AB6" s="1"/>
  <c r="AC6" s="1"/>
  <c r="AD6" s="1"/>
  <c r="K7"/>
  <c r="AE6" l="1"/>
  <c r="AF6" s="1"/>
  <c r="AG6" s="1"/>
  <c r="AH6" s="1"/>
  <c r="AI6" s="1"/>
  <c r="AJ6" s="1"/>
  <c r="AD4"/>
  <c r="L7"/>
  <c r="AK6" l="1"/>
  <c r="AL6" s="1"/>
  <c r="AM6" s="1"/>
  <c r="AN6" s="1"/>
  <c r="AO6" s="1"/>
  <c r="AP6" s="1"/>
  <c r="AQ6" s="1"/>
  <c r="M7"/>
  <c r="AR6" l="1"/>
  <c r="AS6" s="1"/>
  <c r="AK4"/>
  <c r="N7"/>
  <c r="AT6" l="1"/>
  <c r="AS7"/>
  <c r="AR4"/>
  <c r="O7"/>
  <c r="AU6" l="1"/>
  <c r="AT7"/>
  <c r="AV6" l="1"/>
  <c r="AU7"/>
  <c r="P7"/>
  <c r="Q7"/>
  <c r="AW6" l="1"/>
  <c r="AV7"/>
  <c r="R7"/>
  <c r="AX6" l="1"/>
  <c r="AY6" s="1"/>
  <c r="AW7"/>
  <c r="S7"/>
  <c r="AY7" l="1"/>
  <c r="AZ6"/>
  <c r="AY4"/>
  <c r="AX7"/>
  <c r="T7"/>
  <c r="BA6" l="1"/>
  <c r="AZ7"/>
  <c r="U7"/>
  <c r="BA7" l="1"/>
  <c r="BB6"/>
  <c r="V7"/>
  <c r="BB7" l="1"/>
  <c r="BC6"/>
  <c r="W7"/>
  <c r="BC7" l="1"/>
  <c r="BD6"/>
  <c r="X7"/>
  <c r="BE6" l="1"/>
  <c r="BD7"/>
  <c r="Y7"/>
  <c r="BE7" l="1"/>
  <c r="Z7"/>
  <c r="AA7" l="1"/>
  <c r="AB7" l="1"/>
  <c r="AC7" l="1"/>
  <c r="AD7" l="1"/>
  <c r="AE7" l="1"/>
  <c r="AF7" l="1"/>
  <c r="AG7" l="1"/>
  <c r="AH7" l="1"/>
  <c r="AI7" l="1"/>
  <c r="AJ7" l="1"/>
  <c r="AK7" l="1"/>
  <c r="AL7" l="1"/>
  <c r="AM7" l="1"/>
  <c r="AN7" l="1"/>
  <c r="AO7" l="1"/>
  <c r="AP7" l="1"/>
  <c r="AQ7" l="1"/>
  <c r="AR7" l="1"/>
</calcChain>
</file>

<file path=xl/sharedStrings.xml><?xml version="1.0" encoding="utf-8"?>
<sst xmlns="http://schemas.openxmlformats.org/spreadsheetml/2006/main" count="61" uniqueCount="59">
  <si>
    <t>Project Start:</t>
  </si>
  <si>
    <t>Project Management Templates</t>
  </si>
  <si>
    <t>START</t>
  </si>
  <si>
    <t>DAYS</t>
  </si>
  <si>
    <t>Display Week: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</si>
  <si>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</si>
  <si>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</si>
  <si>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</si>
  <si>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</si>
  <si>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</si>
  <si>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</si>
  <si>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</si>
  <si>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</si>
  <si>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</si>
  <si>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</si>
  <si>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</si>
  <si>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</si>
  <si>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</si>
  <si>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 2018-2019 Vertex42 LLC</t>
  </si>
  <si>
    <t>4_Montag_3</t>
    <phoneticPr fontId="24" type="noConversion"/>
  </si>
  <si>
    <t>Abschlussprojekt PPR 22/23</t>
    <phoneticPr fontId="24" type="noConversion"/>
  </si>
  <si>
    <t>ZUGEWIESEN
AN</t>
    <phoneticPr fontId="24" type="noConversion"/>
  </si>
  <si>
    <t>AUFGABE</t>
    <phoneticPr fontId="24" type="noConversion"/>
  </si>
  <si>
    <t>FORTSCHRITT</t>
    <phoneticPr fontId="24" type="noConversion"/>
  </si>
  <si>
    <t>ENDE</t>
    <phoneticPr fontId="24" type="noConversion"/>
  </si>
  <si>
    <t>Yang Haeri</t>
    <phoneticPr fontId="24" type="noConversion"/>
  </si>
  <si>
    <t>Phase 1 Projektplanung und Design</t>
    <phoneticPr fontId="24" type="noConversion"/>
  </si>
  <si>
    <t>Phase 2 Backend</t>
    <phoneticPr fontId="24" type="noConversion"/>
  </si>
  <si>
    <t xml:space="preserve">Phase 3 Frontend </t>
    <phoneticPr fontId="24" type="noConversion"/>
  </si>
  <si>
    <t>3.1 Visualisierung und Abfrage von Parlamentsdebatten</t>
    <phoneticPr fontId="24" type="noConversion"/>
  </si>
  <si>
    <t>3.2 Administration von Parlamentsdebatten</t>
    <phoneticPr fontId="24" type="noConversion"/>
  </si>
  <si>
    <t>3.3 Export und Präsentation der Parlamentsdebatten</t>
    <phoneticPr fontId="24" type="noConversion"/>
  </si>
  <si>
    <t>Phase 4 Dokumentation</t>
    <phoneticPr fontId="24" type="noConversion"/>
  </si>
  <si>
    <t>1(a) Haeri Y</t>
    <phoneticPr fontId="24" type="noConversion"/>
  </si>
  <si>
    <t>2(f) Haeri Y</t>
    <phoneticPr fontId="24" type="noConversion"/>
  </si>
  <si>
    <t>2(e) Haeri Y</t>
    <phoneticPr fontId="24" type="noConversion"/>
  </si>
  <si>
    <t>3.1(b) Haeri Y, Hyeryeon P</t>
    <phoneticPr fontId="24" type="noConversion"/>
  </si>
  <si>
    <t>3.1(c) Haeri Y, Hyeryeon P</t>
    <phoneticPr fontId="24" type="noConversion"/>
  </si>
  <si>
    <t>3.1(d) Haeri Y, Hyeryeon P</t>
    <phoneticPr fontId="24" type="noConversion"/>
  </si>
  <si>
    <t>3.1(e) Haeri Y, Hyeryeon P</t>
    <phoneticPr fontId="24" type="noConversion"/>
  </si>
  <si>
    <t>4(a) Haeri Y, Hyeryeon P</t>
    <phoneticPr fontId="24" type="noConversion"/>
  </si>
  <si>
    <t>Park Hyeryeon
Ben Ameur Osama</t>
    <phoneticPr fontId="24" type="noConversion"/>
  </si>
  <si>
    <t>2(a) Ben Ameur O</t>
    <phoneticPr fontId="24" type="noConversion"/>
  </si>
  <si>
    <t>2(b) Ben Ameur O</t>
    <phoneticPr fontId="24" type="noConversion"/>
  </si>
  <si>
    <t>2(c) Ben Ameur O</t>
    <phoneticPr fontId="24" type="noConversion"/>
  </si>
  <si>
    <t>2(d) Ben Ameur O</t>
    <phoneticPr fontId="24" type="noConversion"/>
  </si>
  <si>
    <t>Kyle Chang Chia-Hao</t>
    <phoneticPr fontId="24" type="noConversion"/>
  </si>
  <si>
    <t>3.2(a) Kyle C</t>
    <phoneticPr fontId="24" type="noConversion"/>
  </si>
  <si>
    <t>3.2(b) Kyle C</t>
    <phoneticPr fontId="24" type="noConversion"/>
  </si>
  <si>
    <t>3.2(c) Kyle C</t>
    <phoneticPr fontId="24" type="noConversion"/>
  </si>
  <si>
    <t>3.3(a) Kyle C</t>
    <phoneticPr fontId="24" type="noConversion"/>
  </si>
  <si>
    <t>3.3(b) Kyle C</t>
    <phoneticPr fontId="24" type="noConversion"/>
  </si>
  <si>
    <t>3.3(c) Kyle C</t>
    <phoneticPr fontId="24" type="noConversion"/>
  </si>
  <si>
    <t>3.3(d) Kyle C</t>
    <phoneticPr fontId="24" type="noConversion"/>
  </si>
  <si>
    <t>3.3(e) Kyle C</t>
    <phoneticPr fontId="24" type="noConversion"/>
  </si>
  <si>
    <t>4(b) Ben Ameur O, Kyle C</t>
    <phoneticPr fontId="24" type="noConversion"/>
  </si>
  <si>
    <t>3.1(a) Haeri Y, Hyeryeon P</t>
    <phoneticPr fontId="24" type="noConversion"/>
  </si>
  <si>
    <t>1(b) Haeri Y, Hyeryeon P</t>
    <phoneticPr fontId="24" type="noConversion"/>
  </si>
  <si>
    <t>1(c) Haeri Y, Hyeryeon P</t>
    <phoneticPr fontId="24" type="noConversion"/>
  </si>
</sst>
</file>

<file path=xl/styles.xml><?xml version="1.0" encoding="utf-8"?>
<styleSheet xmlns="http://schemas.openxmlformats.org/spreadsheetml/2006/main">
  <numFmts count="4">
    <numFmt numFmtId="176" formatCode="m/d/yy;@"/>
    <numFmt numFmtId="177" formatCode="ddd\,\ m/d/yyyy"/>
    <numFmt numFmtId="178" formatCode="mmm\ d\,\ yyyy"/>
    <numFmt numFmtId="179" formatCode="d"/>
  </numFmts>
  <fonts count="26">
    <font>
      <sz val="11"/>
      <color theme="1"/>
      <name val="맑은 고딕"/>
      <family val="2"/>
      <scheme val="minor"/>
    </font>
    <font>
      <b/>
      <sz val="20"/>
      <color theme="4" tint="-0.249977111117893"/>
      <name val="맑은 고딕"/>
      <family val="2"/>
      <scheme val="major"/>
    </font>
    <font>
      <sz val="10"/>
      <name val="맑은 고딕"/>
      <family val="2"/>
      <scheme val="minor"/>
    </font>
    <font>
      <u/>
      <sz val="11"/>
      <color indexed="12"/>
      <name val="Arial"/>
      <family val="2"/>
    </font>
    <font>
      <sz val="11"/>
      <name val="맑은 고딕"/>
      <family val="2"/>
      <scheme val="minor"/>
    </font>
    <font>
      <b/>
      <sz val="11"/>
      <color theme="1"/>
      <name val="맑은 고딕"/>
      <family val="2"/>
      <scheme val="minor"/>
    </font>
    <font>
      <b/>
      <sz val="9"/>
      <color theme="0"/>
      <name val="맑은 고딕"/>
      <family val="2"/>
      <scheme val="minor"/>
    </font>
    <font>
      <sz val="10"/>
      <color theme="0" tint="-0.499984740745262"/>
      <name val="맑은 고딕"/>
      <family val="2"/>
      <scheme val="minor"/>
    </font>
    <font>
      <sz val="11"/>
      <color theme="1"/>
      <name val="맑은 고딕"/>
      <family val="2"/>
      <scheme val="minor"/>
    </font>
    <font>
      <sz val="14"/>
      <color theme="1"/>
      <name val="맑은 고딕"/>
      <family val="2"/>
      <scheme val="minor"/>
    </font>
    <font>
      <sz val="9"/>
      <name val="맑은 고딕"/>
      <family val="2"/>
      <scheme val="minor"/>
    </font>
    <font>
      <sz val="8"/>
      <color theme="0"/>
      <name val="맑은 고딕"/>
      <family val="2"/>
      <scheme val="minor"/>
    </font>
    <font>
      <b/>
      <sz val="22"/>
      <color theme="1" tint="0.34998626667073579"/>
      <name val="맑은 고딕"/>
      <family val="2"/>
      <scheme val="major"/>
    </font>
    <font>
      <sz val="10"/>
      <color theme="1" tint="0.499984740745262"/>
      <name val="Arial"/>
      <family val="2"/>
    </font>
    <font>
      <sz val="16"/>
      <color theme="1"/>
      <name val="맑은 고딕"/>
      <family val="2"/>
      <scheme val="minor"/>
    </font>
    <font>
      <b/>
      <sz val="12"/>
      <color theme="1" tint="0.34998626667073579"/>
      <name val="맑은 고딕"/>
      <family val="2"/>
      <scheme val="minor"/>
    </font>
    <font>
      <b/>
      <sz val="10"/>
      <name val="맑은 고딕"/>
      <family val="2"/>
      <scheme val="minor"/>
    </font>
    <font>
      <sz val="11"/>
      <color theme="1" tint="0.499984740745262"/>
      <name val="맑은 고딕"/>
      <family val="2"/>
      <scheme val="minor"/>
    </font>
    <font>
      <sz val="20"/>
      <name val="맑은 고딕"/>
      <family val="2"/>
      <scheme val="major"/>
    </font>
    <font>
      <sz val="11"/>
      <color rgb="FF1D2129"/>
      <name val="맑은 고딕"/>
      <family val="2"/>
      <scheme val="minor"/>
    </font>
    <font>
      <b/>
      <sz val="16"/>
      <color theme="4" tint="-0.249977111117893"/>
      <name val="맑은 고딕"/>
      <family val="2"/>
      <scheme val="major"/>
    </font>
    <font>
      <sz val="10"/>
      <color theme="1" tint="0.34998626667073579"/>
      <name val="맑은 고딕"/>
      <family val="2"/>
      <scheme val="minor"/>
    </font>
    <font>
      <sz val="9"/>
      <color theme="1" tint="0.499984740745262"/>
      <name val="Arial"/>
      <family val="2"/>
    </font>
    <font>
      <u/>
      <sz val="9"/>
      <color theme="4" tint="-0.249977111117893"/>
      <name val="Arial"/>
      <family val="2"/>
    </font>
    <font>
      <sz val="8"/>
      <name val="맑은 고딕"/>
      <family val="3"/>
      <charset val="129"/>
      <scheme val="minor"/>
    </font>
    <font>
      <sz val="11"/>
      <color theme="1"/>
      <name val="맑은 고딕"/>
      <family val="3"/>
      <charset val="129"/>
      <scheme val="minor"/>
    </font>
  </fonts>
  <fills count="15">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3">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8" fillId="0" borderId="0" applyFont="0" applyFill="0" applyBorder="0" applyAlignment="0" applyProtection="0"/>
  </cellStyleXfs>
  <cellXfs count="10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NumberFormat="1" applyBorder="1" applyAlignment="1">
      <alignment horizontal="center" vertical="center"/>
    </xf>
    <xf numFmtId="0" fontId="7" fillId="0" borderId="0" xfId="0" applyFont="1" applyAlignment="1">
      <alignment vertical="center"/>
    </xf>
    <xf numFmtId="0" fontId="9" fillId="0" borderId="0" xfId="0" applyFont="1"/>
    <xf numFmtId="0" fontId="6" fillId="14" borderId="1" xfId="0" applyFont="1" applyFill="1" applyBorder="1" applyAlignment="1">
      <alignment horizontal="center" vertical="center" wrapText="1"/>
    </xf>
    <xf numFmtId="179" fontId="10" fillId="7" borderId="0" xfId="0" applyNumberFormat="1" applyFont="1" applyFill="1" applyBorder="1" applyAlignment="1">
      <alignment horizontal="center" vertical="center"/>
    </xf>
    <xf numFmtId="179" fontId="10" fillId="7" borderId="8" xfId="0" applyNumberFormat="1" applyFont="1" applyFill="1" applyBorder="1" applyAlignment="1">
      <alignment horizontal="center" vertical="center"/>
    </xf>
    <xf numFmtId="179" fontId="10" fillId="7" borderId="9" xfId="0" applyNumberFormat="1" applyFont="1" applyFill="1" applyBorder="1" applyAlignment="1">
      <alignment horizontal="center" vertical="center"/>
    </xf>
    <xf numFmtId="0" fontId="11" fillId="13" borderId="10" xfId="0" applyFont="1" applyFill="1" applyBorder="1" applyAlignment="1">
      <alignment horizontal="center" vertical="center" shrinkToFit="1"/>
    </xf>
    <xf numFmtId="0" fontId="12" fillId="0" borderId="0" xfId="0" applyFont="1" applyAlignment="1">
      <alignment horizontal="left"/>
    </xf>
    <xf numFmtId="0" fontId="13" fillId="0" borderId="0" xfId="1" applyFont="1" applyAlignment="1" applyProtection="1"/>
    <xf numFmtId="0" fontId="14" fillId="0" borderId="0" xfId="0" applyFont="1" applyAlignment="1">
      <alignment horizontal="right" vertical="center"/>
    </xf>
    <xf numFmtId="0" fontId="4" fillId="0" borderId="2" xfId="0" applyNumberFormat="1" applyFont="1" applyFill="1" applyBorder="1" applyAlignment="1">
      <alignment horizontal="center" vertical="center"/>
    </xf>
    <xf numFmtId="0" fontId="5" fillId="8" borderId="2" xfId="0" applyFont="1" applyFill="1" applyBorder="1" applyAlignment="1">
      <alignment horizontal="left" vertical="center" indent="1"/>
    </xf>
    <xf numFmtId="0" fontId="5" fillId="8" borderId="2" xfId="0" applyFont="1" applyFill="1" applyBorder="1" applyAlignment="1">
      <alignment horizontal="center" vertical="center"/>
    </xf>
    <xf numFmtId="9" fontId="4" fillId="8" borderId="2" xfId="2" applyFont="1" applyFill="1" applyBorder="1" applyAlignment="1">
      <alignment horizontal="center" vertical="center"/>
    </xf>
    <xf numFmtId="176" fontId="0" fillId="8" borderId="2" xfId="0" applyNumberFormat="1" applyFont="1" applyFill="1" applyBorder="1" applyAlignment="1">
      <alignment horizontal="center" vertical="center"/>
    </xf>
    <xf numFmtId="176" fontId="4" fillId="8" borderId="2" xfId="0" applyNumberFormat="1" applyFont="1" applyFill="1" applyBorder="1" applyAlignment="1">
      <alignment horizontal="center" vertical="center"/>
    </xf>
    <xf numFmtId="0" fontId="0" fillId="2" borderId="2" xfId="0" applyFont="1" applyFill="1" applyBorder="1" applyAlignment="1">
      <alignment horizontal="center" vertical="center"/>
    </xf>
    <xf numFmtId="9" fontId="4" fillId="2" borderId="2" xfId="2" applyFont="1" applyFill="1" applyBorder="1" applyAlignment="1">
      <alignment horizontal="center" vertical="center"/>
    </xf>
    <xf numFmtId="176" fontId="0" fillId="2" borderId="2" xfId="0" applyNumberFormat="1" applyFont="1" applyFill="1" applyBorder="1" applyAlignment="1">
      <alignment horizontal="center" vertical="center"/>
    </xf>
    <xf numFmtId="176" fontId="4" fillId="2" borderId="2" xfId="0" applyNumberFormat="1" applyFont="1" applyFill="1" applyBorder="1" applyAlignment="1">
      <alignment horizontal="center" vertical="center"/>
    </xf>
    <xf numFmtId="0" fontId="5" fillId="9" borderId="2" xfId="0" applyFont="1" applyFill="1" applyBorder="1" applyAlignment="1">
      <alignment horizontal="left" vertical="center" indent="1"/>
    </xf>
    <xf numFmtId="0" fontId="5" fillId="9" borderId="2" xfId="0" applyFont="1" applyFill="1" applyBorder="1" applyAlignment="1">
      <alignment horizontal="center" vertical="center"/>
    </xf>
    <xf numFmtId="9" fontId="4" fillId="9" borderId="2" xfId="2" applyFont="1" applyFill="1" applyBorder="1" applyAlignment="1">
      <alignment horizontal="center" vertical="center"/>
    </xf>
    <xf numFmtId="176" fontId="0" fillId="9" borderId="2" xfId="0" applyNumberFormat="1" applyFont="1" applyFill="1" applyBorder="1" applyAlignment="1">
      <alignment horizontal="center" vertical="center"/>
    </xf>
    <xf numFmtId="176" fontId="4" fillId="9" borderId="2" xfId="0" applyNumberFormat="1" applyFont="1" applyFill="1" applyBorder="1" applyAlignment="1">
      <alignment horizontal="center" vertical="center"/>
    </xf>
    <xf numFmtId="0" fontId="0" fillId="3" borderId="2" xfId="0" applyFont="1" applyFill="1" applyBorder="1" applyAlignment="1">
      <alignment horizontal="center" vertical="center"/>
    </xf>
    <xf numFmtId="9" fontId="4" fillId="3" borderId="2" xfId="2" applyFont="1" applyFill="1" applyBorder="1" applyAlignment="1">
      <alignment horizontal="center" vertical="center"/>
    </xf>
    <xf numFmtId="176" fontId="0" fillId="3" borderId="2" xfId="0" applyNumberFormat="1" applyFont="1" applyFill="1" applyBorder="1" applyAlignment="1">
      <alignment horizontal="center" vertical="center"/>
    </xf>
    <xf numFmtId="176" fontId="4" fillId="3" borderId="2" xfId="0" applyNumberFormat="1" applyFont="1" applyFill="1" applyBorder="1" applyAlignment="1">
      <alignment horizontal="center" vertical="center"/>
    </xf>
    <xf numFmtId="0" fontId="5" fillId="5" borderId="2" xfId="0" applyFont="1" applyFill="1" applyBorder="1" applyAlignment="1">
      <alignment horizontal="left" vertical="center" indent="1"/>
    </xf>
    <xf numFmtId="0" fontId="5" fillId="5" borderId="2" xfId="0" applyFont="1" applyFill="1" applyBorder="1" applyAlignment="1">
      <alignment horizontal="center" vertical="center"/>
    </xf>
    <xf numFmtId="9" fontId="4" fillId="5" borderId="2" xfId="2" applyFont="1" applyFill="1" applyBorder="1" applyAlignment="1">
      <alignment horizontal="center" vertical="center"/>
    </xf>
    <xf numFmtId="176" fontId="0" fillId="5" borderId="2" xfId="0" applyNumberFormat="1" applyFont="1" applyFill="1" applyBorder="1" applyAlignment="1">
      <alignment horizontal="center" vertical="center"/>
    </xf>
    <xf numFmtId="176" fontId="4" fillId="5" borderId="2" xfId="0" applyNumberFormat="1" applyFont="1" applyFill="1" applyBorder="1" applyAlignment="1">
      <alignment horizontal="center" vertical="center"/>
    </xf>
    <xf numFmtId="0" fontId="0" fillId="12" borderId="2" xfId="0" applyFont="1" applyFill="1" applyBorder="1" applyAlignment="1">
      <alignment horizontal="center" vertical="center"/>
    </xf>
    <xf numFmtId="9" fontId="4" fillId="12" borderId="2" xfId="2" applyFont="1" applyFill="1" applyBorder="1" applyAlignment="1">
      <alignment horizontal="center" vertical="center"/>
    </xf>
    <xf numFmtId="176" fontId="0" fillId="12" borderId="2" xfId="0" applyNumberFormat="1" applyFont="1" applyFill="1" applyBorder="1" applyAlignment="1">
      <alignment horizontal="center" vertical="center"/>
    </xf>
    <xf numFmtId="176" fontId="4" fillId="12" borderId="2" xfId="0" applyNumberFormat="1" applyFont="1" applyFill="1" applyBorder="1" applyAlignment="1">
      <alignment horizontal="center" vertical="center"/>
    </xf>
    <xf numFmtId="0" fontId="5" fillId="4" borderId="2" xfId="0" applyFont="1" applyFill="1" applyBorder="1" applyAlignment="1">
      <alignment horizontal="left" vertical="center" indent="1"/>
    </xf>
    <xf numFmtId="0" fontId="5" fillId="4" borderId="2" xfId="0" applyFont="1" applyFill="1" applyBorder="1" applyAlignment="1">
      <alignment horizontal="center" vertical="center"/>
    </xf>
    <xf numFmtId="9" fontId="4" fillId="4" borderId="2" xfId="2" applyFont="1" applyFill="1" applyBorder="1" applyAlignment="1">
      <alignment horizontal="center" vertical="center"/>
    </xf>
    <xf numFmtId="176" fontId="0" fillId="4" borderId="2" xfId="0" applyNumberFormat="1" applyFont="1" applyFill="1" applyBorder="1" applyAlignment="1">
      <alignment horizontal="center" vertical="center"/>
    </xf>
    <xf numFmtId="176" fontId="4" fillId="4" borderId="2" xfId="0" applyNumberFormat="1" applyFont="1" applyFill="1" applyBorder="1" applyAlignment="1">
      <alignment horizontal="center" vertical="center"/>
    </xf>
    <xf numFmtId="0" fontId="0" fillId="10" borderId="2" xfId="0" applyFont="1" applyFill="1" applyBorder="1" applyAlignment="1">
      <alignment horizontal="center" vertical="center"/>
    </xf>
    <xf numFmtId="9" fontId="4" fillId="10" borderId="2" xfId="2" applyFont="1" applyFill="1" applyBorder="1" applyAlignment="1">
      <alignment horizontal="center" vertical="center"/>
    </xf>
    <xf numFmtId="176" fontId="0" fillId="10" borderId="2" xfId="0" applyNumberFormat="1" applyFont="1" applyFill="1" applyBorder="1" applyAlignment="1">
      <alignment horizontal="center" vertical="center"/>
    </xf>
    <xf numFmtId="176" fontId="4" fillId="10" borderId="2" xfId="0" applyNumberFormat="1" applyFont="1" applyFill="1" applyBorder="1" applyAlignment="1">
      <alignment horizontal="center" vertical="center"/>
    </xf>
    <xf numFmtId="0" fontId="5" fillId="6" borderId="2" xfId="0" applyFont="1" applyFill="1" applyBorder="1" applyAlignment="1">
      <alignment horizontal="left" vertical="center" indent="1"/>
    </xf>
    <xf numFmtId="0" fontId="5" fillId="6" borderId="2" xfId="0" applyFont="1" applyFill="1" applyBorder="1" applyAlignment="1">
      <alignment horizontal="center" vertical="center"/>
    </xf>
    <xf numFmtId="9" fontId="4" fillId="6" borderId="2" xfId="2" applyFont="1" applyFill="1" applyBorder="1" applyAlignment="1">
      <alignment horizontal="center" vertical="center"/>
    </xf>
    <xf numFmtId="176" fontId="0" fillId="6" borderId="2" xfId="0" applyNumberFormat="1" applyFont="1" applyFill="1" applyBorder="1" applyAlignment="1">
      <alignment horizontal="center" vertical="center"/>
    </xf>
    <xf numFmtId="176" fontId="4" fillId="6" borderId="2" xfId="0" applyNumberFormat="1" applyFont="1" applyFill="1" applyBorder="1" applyAlignment="1">
      <alignment horizontal="center" vertical="center"/>
    </xf>
    <xf numFmtId="0" fontId="0" fillId="11" borderId="2" xfId="0" applyFont="1" applyFill="1" applyBorder="1" applyAlignment="1">
      <alignment horizontal="center" vertical="center"/>
    </xf>
    <xf numFmtId="9" fontId="4" fillId="11" borderId="2" xfId="2" applyFont="1" applyFill="1" applyBorder="1" applyAlignment="1">
      <alignment horizontal="center" vertical="center"/>
    </xf>
    <xf numFmtId="176" fontId="0" fillId="11" borderId="2" xfId="0" applyNumberFormat="1" applyFont="1" applyFill="1" applyBorder="1" applyAlignment="1">
      <alignment horizontal="center" vertical="center"/>
    </xf>
    <xf numFmtId="176" fontId="4" fillId="11" borderId="2" xfId="0" applyNumberFormat="1"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2" fillId="0" borderId="0" xfId="0" applyFont="1" applyAlignment="1" applyProtection="1">
      <alignment vertical="top"/>
    </xf>
    <xf numFmtId="0" fontId="2" fillId="0" borderId="0" xfId="0" applyFont="1"/>
    <xf numFmtId="0" fontId="15" fillId="0" borderId="0" xfId="0" applyFont="1" applyAlignment="1" applyProtection="1">
      <alignment horizontal="left" vertical="center"/>
    </xf>
    <xf numFmtId="0" fontId="16" fillId="0" borderId="0" xfId="0" applyFont="1" applyAlignment="1">
      <alignment horizontal="left" vertical="center"/>
    </xf>
    <xf numFmtId="0" fontId="17" fillId="0" borderId="0" xfId="0" applyFont="1" applyAlignment="1">
      <alignment vertical="center"/>
    </xf>
    <xf numFmtId="0" fontId="2" fillId="0" borderId="0" xfId="0" applyFont="1" applyAlignment="1">
      <alignment horizontal="left" vertical="center"/>
    </xf>
    <xf numFmtId="0" fontId="18" fillId="0" borderId="0" xfId="0" applyFont="1"/>
    <xf numFmtId="0" fontId="19" fillId="0" borderId="0" xfId="0" applyFont="1" applyAlignment="1">
      <alignment vertical="top" wrapText="1"/>
    </xf>
    <xf numFmtId="0" fontId="2" fillId="0" borderId="0" xfId="0" applyFont="1" applyAlignment="1">
      <alignment vertical="top"/>
    </xf>
    <xf numFmtId="0" fontId="20" fillId="0" borderId="0" xfId="0" applyFont="1" applyAlignment="1">
      <alignment vertical="center"/>
    </xf>
    <xf numFmtId="0" fontId="19" fillId="0" borderId="0" xfId="0" applyFont="1" applyAlignment="1">
      <alignment horizontal="left" vertical="top" wrapText="1" indent="1"/>
    </xf>
    <xf numFmtId="0" fontId="3" fillId="0" borderId="0" xfId="1" applyAlignment="1" applyProtection="1">
      <alignment horizontal="left" indent="1"/>
    </xf>
    <xf numFmtId="0" fontId="2" fillId="0" borderId="0" xfId="0" applyFont="1" applyAlignment="1">
      <alignment horizontal="right" vertical="center"/>
    </xf>
    <xf numFmtId="0" fontId="21" fillId="0" borderId="0" xfId="0" applyFont="1" applyAlignment="1" applyProtection="1">
      <alignment vertical="top"/>
    </xf>
    <xf numFmtId="0" fontId="22" fillId="0" borderId="0" xfId="0" applyFont="1"/>
    <xf numFmtId="0" fontId="22" fillId="0" borderId="0" xfId="1" applyFont="1" applyAlignment="1" applyProtection="1"/>
    <xf numFmtId="0" fontId="3" fillId="0" borderId="0" xfId="1" applyFill="1" applyAlignment="1" applyProtection="1">
      <alignment horizontal="left" indent="1"/>
    </xf>
    <xf numFmtId="0" fontId="0" fillId="0" borderId="0" xfId="0" applyAlignment="1">
      <alignment wrapText="1"/>
    </xf>
    <xf numFmtId="0" fontId="25" fillId="0" borderId="0" xfId="0" applyFont="1" applyAlignment="1">
      <alignment wrapText="1"/>
    </xf>
    <xf numFmtId="0" fontId="0" fillId="0" borderId="0" xfId="0" applyNumberFormat="1" applyBorder="1" applyAlignment="1">
      <alignment horizontal="center" vertical="center"/>
    </xf>
    <xf numFmtId="0" fontId="6" fillId="14" borderId="0" xfId="0" applyFont="1" applyFill="1" applyBorder="1" applyAlignment="1">
      <alignment vertical="center"/>
    </xf>
    <xf numFmtId="0" fontId="6" fillId="14" borderId="0" xfId="0" applyFont="1" applyFill="1" applyBorder="1" applyAlignment="1">
      <alignment vertical="center" wrapText="1"/>
    </xf>
    <xf numFmtId="0" fontId="6" fillId="14" borderId="12" xfId="0" applyFont="1" applyFill="1" applyBorder="1" applyAlignment="1">
      <alignment vertical="center" wrapText="1"/>
    </xf>
    <xf numFmtId="0" fontId="0" fillId="0" borderId="0" xfId="0" applyFill="1"/>
    <xf numFmtId="0" fontId="0" fillId="0" borderId="0" xfId="0" applyFill="1" applyAlignment="1">
      <alignment horizontal="center"/>
    </xf>
    <xf numFmtId="0" fontId="6" fillId="0" borderId="0" xfId="0" applyFont="1" applyFill="1" applyBorder="1" applyAlignment="1">
      <alignment vertical="center" wrapText="1"/>
    </xf>
    <xf numFmtId="0" fontId="0" fillId="2" borderId="2" xfId="0" applyFill="1" applyBorder="1" applyAlignment="1">
      <alignment horizontal="left" vertical="center" indent="2"/>
    </xf>
    <xf numFmtId="0" fontId="0" fillId="3" borderId="2" xfId="0" applyFill="1" applyBorder="1" applyAlignment="1">
      <alignment horizontal="left" vertical="center" indent="2"/>
    </xf>
    <xf numFmtId="0" fontId="0" fillId="12" borderId="2" xfId="0" applyFill="1" applyBorder="1" applyAlignment="1">
      <alignment horizontal="left" vertical="center" indent="2"/>
    </xf>
    <xf numFmtId="0" fontId="0" fillId="10" borderId="2" xfId="0" applyFill="1" applyBorder="1" applyAlignment="1">
      <alignment horizontal="left" vertical="center" indent="2"/>
    </xf>
    <xf numFmtId="0" fontId="0" fillId="11" borderId="2" xfId="0" applyFill="1" applyBorder="1" applyAlignment="1">
      <alignment horizontal="left" vertical="center" indent="2"/>
    </xf>
    <xf numFmtId="177" fontId="0" fillId="0" borderId="4" xfId="0" applyNumberFormat="1" applyBorder="1" applyAlignment="1">
      <alignment horizontal="center" vertical="center"/>
    </xf>
    <xf numFmtId="177" fontId="0" fillId="0" borderId="5" xfId="0" applyNumberFormat="1" applyBorder="1" applyAlignment="1">
      <alignment horizontal="center" vertical="center"/>
    </xf>
    <xf numFmtId="178" fontId="0" fillId="7" borderId="6" xfId="0" applyNumberFormat="1" applyFont="1" applyFill="1" applyBorder="1" applyAlignment="1">
      <alignment horizontal="center" vertical="center" wrapText="1"/>
    </xf>
    <xf numFmtId="178" fontId="0" fillId="7" borderId="1" xfId="0" applyNumberFormat="1" applyFont="1" applyFill="1" applyBorder="1" applyAlignment="1">
      <alignment horizontal="center" vertical="center" wrapText="1"/>
    </xf>
    <xf numFmtId="178" fontId="0" fillId="7" borderId="7" xfId="0" applyNumberFormat="1" applyFont="1" applyFill="1" applyBorder="1" applyAlignment="1">
      <alignment horizontal="center" vertical="center" wrapText="1"/>
    </xf>
    <xf numFmtId="178" fontId="0" fillId="7" borderId="8" xfId="0" applyNumberFormat="1" applyFont="1" applyFill="1" applyBorder="1" applyAlignment="1">
      <alignment horizontal="center" vertical="center" wrapText="1"/>
    </xf>
    <xf numFmtId="178" fontId="0" fillId="7" borderId="0" xfId="0" applyNumberFormat="1" applyFont="1" applyFill="1" applyBorder="1" applyAlignment="1">
      <alignment horizontal="center" vertical="center" wrapText="1"/>
    </xf>
    <xf numFmtId="178" fontId="0" fillId="7" borderId="9" xfId="0" applyNumberFormat="1" applyFont="1" applyFill="1" applyBorder="1" applyAlignment="1">
      <alignment horizontal="center" vertical="center" wrapText="1"/>
    </xf>
    <xf numFmtId="0" fontId="23" fillId="0" borderId="0" xfId="1" applyFont="1" applyAlignment="1" applyProtection="1">
      <alignment horizontal="left" vertical="center"/>
    </xf>
  </cellXfs>
  <cellStyles count="3">
    <cellStyle name="백분율" xfId="2" builtinId="5"/>
    <cellStyle name="표준" xfId="0" builtinId="0"/>
    <cellStyle name="하이퍼링크" xfId="1" builtinId="8" customBuiltin="1"/>
  </cellStyles>
  <dxfs count="12">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sheetPr codeName="Sheet1">
    <pageSetUpPr fitToPage="1"/>
  </sheetPr>
  <dimension ref="A1:BE40"/>
  <sheetViews>
    <sheetView showGridLines="0" tabSelected="1" showRuler="0" zoomScalePageLayoutView="70" workbookViewId="0">
      <pane ySplit="7" topLeftCell="A8" activePane="bottomLeft" state="frozen"/>
      <selection pane="bottomLeft" activeCell="R36" sqref="R36"/>
    </sheetView>
  </sheetViews>
  <sheetFormatPr defaultRowHeight="17.399999999999999"/>
  <cols>
    <col min="1" max="1" width="2.69921875" customWidth="1"/>
    <col min="2" max="2" width="19.8984375" customWidth="1"/>
    <col min="3" max="3" width="12.09765625" customWidth="1"/>
    <col min="4" max="4" width="10.69921875" customWidth="1"/>
    <col min="5" max="5" width="10.3984375" style="5" customWidth="1"/>
    <col min="6" max="6" width="10.3984375" customWidth="1"/>
    <col min="7" max="7" width="2.69921875" customWidth="1"/>
    <col min="8" max="8" width="6.09765625" hidden="1" customWidth="1"/>
    <col min="9" max="57" width="2.59765625" customWidth="1"/>
    <col min="62" max="63" width="10.296875"/>
  </cols>
  <sheetData>
    <row r="1" spans="1:57" ht="33">
      <c r="B1" s="15" t="s">
        <v>20</v>
      </c>
      <c r="C1" s="1"/>
      <c r="D1" s="2"/>
      <c r="E1" s="4"/>
      <c r="F1" s="78"/>
      <c r="H1" s="2"/>
      <c r="I1" s="8"/>
      <c r="J1" s="105" t="str">
        <f>HYPERLINK("https://vertex42.link/HowToMakeAGanttChart","► Watch How to Make a Gantt Chart in Excel")</f>
        <v>► Watch How to Make a Gantt Chart in Excel</v>
      </c>
      <c r="K1" s="105"/>
      <c r="L1" s="105"/>
      <c r="M1" s="105"/>
      <c r="N1" s="105"/>
      <c r="O1" s="105"/>
      <c r="P1" s="105"/>
      <c r="Q1" s="105"/>
      <c r="R1" s="105"/>
      <c r="S1" s="105"/>
      <c r="T1" s="105"/>
      <c r="U1" s="105"/>
      <c r="V1" s="105"/>
      <c r="W1" s="105"/>
      <c r="X1" s="105"/>
      <c r="Y1" s="105"/>
      <c r="Z1" s="105"/>
      <c r="AA1" s="105"/>
    </row>
    <row r="2" spans="1:57" ht="19.5" customHeight="1">
      <c r="B2" s="9" t="s">
        <v>19</v>
      </c>
      <c r="D2" s="6" t="s">
        <v>0</v>
      </c>
      <c r="E2" s="97">
        <v>44940</v>
      </c>
      <c r="F2" s="98"/>
    </row>
    <row r="3" spans="1:57" ht="50.4" customHeight="1">
      <c r="B3" s="84" t="s">
        <v>46</v>
      </c>
      <c r="D3" s="6" t="s">
        <v>17</v>
      </c>
      <c r="E3" s="97">
        <f ca="1">TODAY()</f>
        <v>44969</v>
      </c>
      <c r="F3" s="98"/>
    </row>
    <row r="4" spans="1:57" ht="37.799999999999997" customHeight="1">
      <c r="B4" s="83" t="s">
        <v>41</v>
      </c>
      <c r="D4" s="6" t="s">
        <v>4</v>
      </c>
      <c r="E4" s="7">
        <v>1</v>
      </c>
      <c r="I4" s="99">
        <f>I6</f>
        <v>44935</v>
      </c>
      <c r="J4" s="100"/>
      <c r="K4" s="100"/>
      <c r="L4" s="100"/>
      <c r="M4" s="100"/>
      <c r="N4" s="100"/>
      <c r="O4" s="101"/>
      <c r="P4" s="99">
        <f>P6</f>
        <v>44942</v>
      </c>
      <c r="Q4" s="100"/>
      <c r="R4" s="100"/>
      <c r="S4" s="100"/>
      <c r="T4" s="100"/>
      <c r="U4" s="100"/>
      <c r="V4" s="101"/>
      <c r="W4" s="99">
        <f>W6</f>
        <v>44949</v>
      </c>
      <c r="X4" s="100"/>
      <c r="Y4" s="100"/>
      <c r="Z4" s="100"/>
      <c r="AA4" s="100"/>
      <c r="AB4" s="100"/>
      <c r="AC4" s="101"/>
      <c r="AD4" s="99">
        <f>AD6</f>
        <v>44956</v>
      </c>
      <c r="AE4" s="100"/>
      <c r="AF4" s="100"/>
      <c r="AG4" s="100"/>
      <c r="AH4" s="100"/>
      <c r="AI4" s="100"/>
      <c r="AJ4" s="101"/>
      <c r="AK4" s="99">
        <f>AK6</f>
        <v>44963</v>
      </c>
      <c r="AL4" s="100"/>
      <c r="AM4" s="100"/>
      <c r="AN4" s="100"/>
      <c r="AO4" s="100"/>
      <c r="AP4" s="100"/>
      <c r="AQ4" s="101"/>
      <c r="AR4" s="99">
        <f>AR6</f>
        <v>44970</v>
      </c>
      <c r="AS4" s="100"/>
      <c r="AT4" s="100"/>
      <c r="AU4" s="100"/>
      <c r="AV4" s="100"/>
      <c r="AW4" s="100"/>
      <c r="AX4" s="101"/>
      <c r="AY4" s="99">
        <f>AY6</f>
        <v>44977</v>
      </c>
      <c r="AZ4" s="100"/>
      <c r="BA4" s="100"/>
      <c r="BB4" s="100"/>
      <c r="BC4" s="100"/>
      <c r="BD4" s="100"/>
      <c r="BE4" s="101"/>
    </row>
    <row r="5" spans="1:57" ht="22.8" customHeight="1">
      <c r="B5" s="83" t="s">
        <v>25</v>
      </c>
      <c r="D5" s="6"/>
      <c r="E5" s="85"/>
      <c r="I5" s="102"/>
      <c r="J5" s="103"/>
      <c r="K5" s="103"/>
      <c r="L5" s="103"/>
      <c r="M5" s="103"/>
      <c r="N5" s="103"/>
      <c r="O5" s="104"/>
      <c r="P5" s="102"/>
      <c r="Q5" s="103"/>
      <c r="R5" s="103"/>
      <c r="S5" s="103"/>
      <c r="T5" s="103"/>
      <c r="U5" s="103"/>
      <c r="V5" s="104"/>
      <c r="W5" s="102"/>
      <c r="X5" s="103"/>
      <c r="Y5" s="103"/>
      <c r="Z5" s="103"/>
      <c r="AA5" s="103"/>
      <c r="AB5" s="103"/>
      <c r="AC5" s="104"/>
      <c r="AD5" s="102"/>
      <c r="AE5" s="103"/>
      <c r="AF5" s="103"/>
      <c r="AG5" s="103"/>
      <c r="AH5" s="103"/>
      <c r="AI5" s="103"/>
      <c r="AJ5" s="104"/>
      <c r="AK5" s="102"/>
      <c r="AL5" s="103"/>
      <c r="AM5" s="103"/>
      <c r="AN5" s="103"/>
      <c r="AO5" s="103"/>
      <c r="AP5" s="103"/>
      <c r="AQ5" s="104"/>
      <c r="AR5" s="102"/>
      <c r="AS5" s="103"/>
      <c r="AT5" s="103"/>
      <c r="AU5" s="103"/>
      <c r="AV5" s="103"/>
      <c r="AW5" s="103"/>
      <c r="AX5" s="104"/>
      <c r="AY5" s="102"/>
      <c r="AZ5" s="103"/>
      <c r="BA5" s="103"/>
      <c r="BB5" s="103"/>
      <c r="BC5" s="103"/>
      <c r="BD5" s="103"/>
      <c r="BE5" s="104"/>
    </row>
    <row r="6" spans="1:57" ht="37.200000000000003" customHeight="1">
      <c r="A6" s="6"/>
      <c r="B6" s="89"/>
      <c r="C6" s="89"/>
      <c r="D6" s="89"/>
      <c r="E6" s="90"/>
      <c r="F6" s="89"/>
      <c r="G6" s="91"/>
      <c r="I6" s="12">
        <f>E2-WEEKDAY(E2,1)+2+7*(E4-1)</f>
        <v>44935</v>
      </c>
      <c r="J6" s="11">
        <f>I6+1</f>
        <v>44936</v>
      </c>
      <c r="K6" s="11">
        <f t="shared" ref="K6:AX6" si="0">J6+1</f>
        <v>44937</v>
      </c>
      <c r="L6" s="11">
        <f t="shared" si="0"/>
        <v>44938</v>
      </c>
      <c r="M6" s="11">
        <f t="shared" si="0"/>
        <v>44939</v>
      </c>
      <c r="N6" s="11">
        <f t="shared" si="0"/>
        <v>44940</v>
      </c>
      <c r="O6" s="13">
        <f t="shared" si="0"/>
        <v>44941</v>
      </c>
      <c r="P6" s="12">
        <f>O6+1</f>
        <v>44942</v>
      </c>
      <c r="Q6" s="11">
        <f>P6+1</f>
        <v>44943</v>
      </c>
      <c r="R6" s="11">
        <f t="shared" si="0"/>
        <v>44944</v>
      </c>
      <c r="S6" s="11">
        <f t="shared" si="0"/>
        <v>44945</v>
      </c>
      <c r="T6" s="11">
        <f t="shared" si="0"/>
        <v>44946</v>
      </c>
      <c r="U6" s="11">
        <f t="shared" si="0"/>
        <v>44947</v>
      </c>
      <c r="V6" s="13">
        <f t="shared" si="0"/>
        <v>44948</v>
      </c>
      <c r="W6" s="12">
        <f>V6+1</f>
        <v>44949</v>
      </c>
      <c r="X6" s="11">
        <f>W6+1</f>
        <v>44950</v>
      </c>
      <c r="Y6" s="11">
        <f t="shared" si="0"/>
        <v>44951</v>
      </c>
      <c r="Z6" s="11">
        <f t="shared" si="0"/>
        <v>44952</v>
      </c>
      <c r="AA6" s="11">
        <f t="shared" si="0"/>
        <v>44953</v>
      </c>
      <c r="AB6" s="11">
        <f t="shared" si="0"/>
        <v>44954</v>
      </c>
      <c r="AC6" s="13">
        <f t="shared" si="0"/>
        <v>44955</v>
      </c>
      <c r="AD6" s="12">
        <f>AC6+1</f>
        <v>44956</v>
      </c>
      <c r="AE6" s="11">
        <f>AD6+1</f>
        <v>44957</v>
      </c>
      <c r="AF6" s="11">
        <f t="shared" si="0"/>
        <v>44958</v>
      </c>
      <c r="AG6" s="11">
        <f t="shared" si="0"/>
        <v>44959</v>
      </c>
      <c r="AH6" s="11">
        <f t="shared" si="0"/>
        <v>44960</v>
      </c>
      <c r="AI6" s="11">
        <f t="shared" si="0"/>
        <v>44961</v>
      </c>
      <c r="AJ6" s="13">
        <f t="shared" si="0"/>
        <v>44962</v>
      </c>
      <c r="AK6" s="12">
        <f>AJ6+1</f>
        <v>44963</v>
      </c>
      <c r="AL6" s="11">
        <f>AK6+1</f>
        <v>44964</v>
      </c>
      <c r="AM6" s="11">
        <f t="shared" si="0"/>
        <v>44965</v>
      </c>
      <c r="AN6" s="11">
        <f t="shared" si="0"/>
        <v>44966</v>
      </c>
      <c r="AO6" s="11">
        <f t="shared" si="0"/>
        <v>44967</v>
      </c>
      <c r="AP6" s="11">
        <f t="shared" si="0"/>
        <v>44968</v>
      </c>
      <c r="AQ6" s="13">
        <f t="shared" si="0"/>
        <v>44969</v>
      </c>
      <c r="AR6" s="12">
        <f>AQ6+1</f>
        <v>44970</v>
      </c>
      <c r="AS6" s="11">
        <f>AR6+1</f>
        <v>44971</v>
      </c>
      <c r="AT6" s="11">
        <f t="shared" si="0"/>
        <v>44972</v>
      </c>
      <c r="AU6" s="11">
        <f t="shared" si="0"/>
        <v>44973</v>
      </c>
      <c r="AV6" s="11">
        <f t="shared" si="0"/>
        <v>44974</v>
      </c>
      <c r="AW6" s="11">
        <f t="shared" si="0"/>
        <v>44975</v>
      </c>
      <c r="AX6" s="13">
        <f t="shared" si="0"/>
        <v>44976</v>
      </c>
      <c r="AY6" s="12">
        <f>AX6+1</f>
        <v>44977</v>
      </c>
      <c r="AZ6" s="11">
        <f>AY6+1</f>
        <v>44978</v>
      </c>
      <c r="BA6" s="11">
        <f t="shared" ref="BA6:BE6" si="1">AZ6+1</f>
        <v>44979</v>
      </c>
      <c r="BB6" s="11">
        <f t="shared" si="1"/>
        <v>44980</v>
      </c>
      <c r="BC6" s="11">
        <f t="shared" si="1"/>
        <v>44981</v>
      </c>
      <c r="BD6" s="11">
        <f t="shared" si="1"/>
        <v>44982</v>
      </c>
      <c r="BE6" s="13">
        <f t="shared" si="1"/>
        <v>44983</v>
      </c>
    </row>
    <row r="7" spans="1:57" ht="55.8" customHeight="1" thickBot="1">
      <c r="A7" s="17"/>
      <c r="B7" s="86" t="s">
        <v>22</v>
      </c>
      <c r="C7" s="87" t="s">
        <v>21</v>
      </c>
      <c r="D7" s="87" t="s">
        <v>23</v>
      </c>
      <c r="E7" s="87" t="s">
        <v>2</v>
      </c>
      <c r="F7" s="87" t="s">
        <v>24</v>
      </c>
      <c r="G7" s="88"/>
      <c r="H7" s="10" t="s">
        <v>3</v>
      </c>
      <c r="I7" s="14" t="str">
        <f t="shared" ref="I7" si="2">LEFT(TEXT(I6,"ddd"),1)</f>
        <v>M</v>
      </c>
      <c r="J7" s="14" t="str">
        <f t="shared" ref="J7:AR7" si="3">LEFT(TEXT(J6,"ddd"),1)</f>
        <v>T</v>
      </c>
      <c r="K7" s="14" t="str">
        <f t="shared" si="3"/>
        <v>W</v>
      </c>
      <c r="L7" s="14" t="str">
        <f t="shared" si="3"/>
        <v>T</v>
      </c>
      <c r="M7" s="14" t="str">
        <f t="shared" si="3"/>
        <v>F</v>
      </c>
      <c r="N7" s="14" t="str">
        <f t="shared" si="3"/>
        <v>S</v>
      </c>
      <c r="O7" s="14" t="str">
        <f t="shared" si="3"/>
        <v>S</v>
      </c>
      <c r="P7" s="14" t="str">
        <f t="shared" si="3"/>
        <v>M</v>
      </c>
      <c r="Q7" s="14" t="str">
        <f t="shared" si="3"/>
        <v>T</v>
      </c>
      <c r="R7" s="14" t="str">
        <f t="shared" si="3"/>
        <v>W</v>
      </c>
      <c r="S7" s="14" t="str">
        <f t="shared" si="3"/>
        <v>T</v>
      </c>
      <c r="T7" s="14" t="str">
        <f t="shared" si="3"/>
        <v>F</v>
      </c>
      <c r="U7" s="14" t="str">
        <f t="shared" si="3"/>
        <v>S</v>
      </c>
      <c r="V7" s="14" t="str">
        <f t="shared" si="3"/>
        <v>S</v>
      </c>
      <c r="W7" s="14" t="str">
        <f t="shared" si="3"/>
        <v>M</v>
      </c>
      <c r="X7" s="14" t="str">
        <f t="shared" si="3"/>
        <v>T</v>
      </c>
      <c r="Y7" s="14" t="str">
        <f t="shared" si="3"/>
        <v>W</v>
      </c>
      <c r="Z7" s="14" t="str">
        <f t="shared" si="3"/>
        <v>T</v>
      </c>
      <c r="AA7" s="14" t="str">
        <f t="shared" si="3"/>
        <v>F</v>
      </c>
      <c r="AB7" s="14" t="str">
        <f t="shared" si="3"/>
        <v>S</v>
      </c>
      <c r="AC7" s="14" t="str">
        <f t="shared" si="3"/>
        <v>S</v>
      </c>
      <c r="AD7" s="14" t="str">
        <f t="shared" si="3"/>
        <v>M</v>
      </c>
      <c r="AE7" s="14" t="str">
        <f t="shared" si="3"/>
        <v>T</v>
      </c>
      <c r="AF7" s="14" t="str">
        <f t="shared" si="3"/>
        <v>W</v>
      </c>
      <c r="AG7" s="14" t="str">
        <f t="shared" si="3"/>
        <v>T</v>
      </c>
      <c r="AH7" s="14" t="str">
        <f t="shared" si="3"/>
        <v>F</v>
      </c>
      <c r="AI7" s="14" t="str">
        <f t="shared" si="3"/>
        <v>S</v>
      </c>
      <c r="AJ7" s="14" t="str">
        <f t="shared" si="3"/>
        <v>S</v>
      </c>
      <c r="AK7" s="14" t="str">
        <f t="shared" si="3"/>
        <v>M</v>
      </c>
      <c r="AL7" s="14" t="str">
        <f t="shared" si="3"/>
        <v>T</v>
      </c>
      <c r="AM7" s="14" t="str">
        <f t="shared" si="3"/>
        <v>W</v>
      </c>
      <c r="AN7" s="14" t="str">
        <f t="shared" si="3"/>
        <v>T</v>
      </c>
      <c r="AO7" s="14" t="str">
        <f t="shared" si="3"/>
        <v>F</v>
      </c>
      <c r="AP7" s="14" t="str">
        <f t="shared" si="3"/>
        <v>S</v>
      </c>
      <c r="AQ7" s="14" t="str">
        <f t="shared" si="3"/>
        <v>S</v>
      </c>
      <c r="AR7" s="14" t="str">
        <f t="shared" si="3"/>
        <v>M</v>
      </c>
      <c r="AS7" s="14" t="str">
        <f t="shared" ref="AS7:BE7" si="4">LEFT(TEXT(AS6,"ddd"),1)</f>
        <v>T</v>
      </c>
      <c r="AT7" s="14" t="str">
        <f t="shared" si="4"/>
        <v>W</v>
      </c>
      <c r="AU7" s="14" t="str">
        <f t="shared" si="4"/>
        <v>T</v>
      </c>
      <c r="AV7" s="14" t="str">
        <f t="shared" si="4"/>
        <v>F</v>
      </c>
      <c r="AW7" s="14" t="str">
        <f t="shared" si="4"/>
        <v>S</v>
      </c>
      <c r="AX7" s="14" t="str">
        <f t="shared" si="4"/>
        <v>S</v>
      </c>
      <c r="AY7" s="14" t="str">
        <f t="shared" si="4"/>
        <v>M</v>
      </c>
      <c r="AZ7" s="14" t="str">
        <f t="shared" si="4"/>
        <v>T</v>
      </c>
      <c r="BA7" s="14" t="str">
        <f t="shared" si="4"/>
        <v>W</v>
      </c>
      <c r="BB7" s="14" t="str">
        <f t="shared" si="4"/>
        <v>T</v>
      </c>
      <c r="BC7" s="14" t="str">
        <f t="shared" si="4"/>
        <v>F</v>
      </c>
      <c r="BD7" s="14" t="str">
        <f t="shared" si="4"/>
        <v>S</v>
      </c>
      <c r="BE7" s="14" t="str">
        <f t="shared" si="4"/>
        <v>S</v>
      </c>
    </row>
    <row r="8" spans="1:57" s="3" customFormat="1" ht="25.8" thickBot="1">
      <c r="A8" s="17"/>
      <c r="B8" s="19" t="s">
        <v>26</v>
      </c>
      <c r="C8" s="20"/>
      <c r="D8" s="21"/>
      <c r="E8" s="22"/>
      <c r="F8" s="23"/>
      <c r="G8" s="18"/>
      <c r="H8" s="18" t="str">
        <f t="shared" ref="H8:H38" si="5">IF(OR(ISBLANK(task_start),ISBLANK(task_end)),"",task_end-task_start+1)</f>
        <v/>
      </c>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row>
    <row r="9" spans="1:57" s="3" customFormat="1" ht="25.8" thickBot="1">
      <c r="A9" s="17"/>
      <c r="B9" s="92" t="s">
        <v>33</v>
      </c>
      <c r="C9" s="24"/>
      <c r="D9" s="25">
        <v>1</v>
      </c>
      <c r="E9" s="26">
        <v>44935</v>
      </c>
      <c r="F9" s="27">
        <v>44936</v>
      </c>
      <c r="G9" s="18"/>
      <c r="H9" s="18">
        <f t="shared" si="5"/>
        <v>2</v>
      </c>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row>
    <row r="10" spans="1:57" s="3" customFormat="1" ht="25.8" thickBot="1">
      <c r="A10" s="17"/>
      <c r="B10" s="92" t="s">
        <v>57</v>
      </c>
      <c r="C10" s="24"/>
      <c r="D10" s="25">
        <v>0.3</v>
      </c>
      <c r="E10" s="26">
        <v>44936</v>
      </c>
      <c r="F10" s="27">
        <v>44939</v>
      </c>
      <c r="G10" s="18"/>
      <c r="H10" s="18">
        <f t="shared" si="5"/>
        <v>4</v>
      </c>
      <c r="I10" s="64"/>
      <c r="J10" s="64"/>
      <c r="K10" s="64"/>
      <c r="L10" s="64"/>
      <c r="M10" s="64"/>
      <c r="N10" s="64"/>
      <c r="O10" s="64"/>
      <c r="P10" s="64"/>
      <c r="Q10" s="64"/>
      <c r="R10" s="64"/>
      <c r="S10" s="64"/>
      <c r="T10" s="64"/>
      <c r="U10" s="65"/>
      <c r="V10" s="65"/>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row>
    <row r="11" spans="1:57" s="3" customFormat="1" ht="25.8" thickBot="1">
      <c r="A11" s="17"/>
      <c r="B11" s="92" t="s">
        <v>58</v>
      </c>
      <c r="C11" s="24"/>
      <c r="D11" s="25">
        <v>0.5</v>
      </c>
      <c r="E11" s="26">
        <v>44939</v>
      </c>
      <c r="F11" s="27">
        <v>44940</v>
      </c>
      <c r="G11" s="18"/>
      <c r="H11" s="18">
        <f t="shared" si="5"/>
        <v>2</v>
      </c>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row>
    <row r="12" spans="1:57" s="3" customFormat="1" ht="25.8" thickBot="1">
      <c r="A12" s="17"/>
      <c r="B12" s="28" t="s">
        <v>27</v>
      </c>
      <c r="C12" s="29"/>
      <c r="D12" s="30"/>
      <c r="E12" s="31"/>
      <c r="F12" s="32"/>
      <c r="G12" s="18"/>
      <c r="H12" s="18" t="str">
        <f t="shared" si="5"/>
        <v/>
      </c>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row>
    <row r="13" spans="1:57" s="3" customFormat="1" ht="25.8" thickBot="1">
      <c r="A13" s="17"/>
      <c r="B13" s="93" t="s">
        <v>42</v>
      </c>
      <c r="C13" s="33"/>
      <c r="D13" s="34">
        <v>1</v>
      </c>
      <c r="E13" s="35">
        <v>44933</v>
      </c>
      <c r="F13" s="36">
        <v>44937</v>
      </c>
      <c r="G13" s="18"/>
      <c r="H13" s="18">
        <f t="shared" si="5"/>
        <v>5</v>
      </c>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row>
    <row r="14" spans="1:57" s="3" customFormat="1" ht="25.8" thickBot="1">
      <c r="A14" s="17"/>
      <c r="B14" s="93" t="s">
        <v>43</v>
      </c>
      <c r="C14" s="33"/>
      <c r="D14" s="34">
        <v>1</v>
      </c>
      <c r="E14" s="35">
        <v>44935</v>
      </c>
      <c r="F14" s="36">
        <v>44940</v>
      </c>
      <c r="G14" s="18"/>
      <c r="H14" s="18">
        <f t="shared" si="5"/>
        <v>6</v>
      </c>
      <c r="I14" s="64"/>
      <c r="J14" s="64"/>
      <c r="K14" s="64"/>
      <c r="L14" s="64"/>
      <c r="M14" s="64"/>
      <c r="N14" s="64"/>
      <c r="O14" s="64"/>
      <c r="P14" s="64"/>
      <c r="Q14" s="64"/>
      <c r="R14" s="64"/>
      <c r="S14" s="64"/>
      <c r="T14" s="64"/>
      <c r="U14" s="65"/>
      <c r="V14" s="65"/>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row>
    <row r="15" spans="1:57" s="3" customFormat="1" ht="25.8" thickBot="1">
      <c r="A15" s="17"/>
      <c r="B15" s="93" t="s">
        <v>44</v>
      </c>
      <c r="C15" s="33"/>
      <c r="D15" s="34">
        <v>1</v>
      </c>
      <c r="E15" s="35">
        <v>44941</v>
      </c>
      <c r="F15" s="36">
        <v>44944</v>
      </c>
      <c r="G15" s="18"/>
      <c r="H15" s="18">
        <f t="shared" si="5"/>
        <v>4</v>
      </c>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row>
    <row r="16" spans="1:57" s="3" customFormat="1" ht="25.8" thickBot="1">
      <c r="A16" s="17"/>
      <c r="B16" s="93" t="s">
        <v>45</v>
      </c>
      <c r="C16" s="33"/>
      <c r="D16" s="34">
        <v>1</v>
      </c>
      <c r="E16" s="35">
        <v>44941</v>
      </c>
      <c r="F16" s="36">
        <v>44948</v>
      </c>
      <c r="G16" s="18"/>
      <c r="H16" s="18">
        <f t="shared" si="5"/>
        <v>8</v>
      </c>
      <c r="I16" s="64"/>
      <c r="J16" s="64"/>
      <c r="K16" s="64"/>
      <c r="L16" s="64"/>
      <c r="M16" s="64"/>
      <c r="N16" s="64"/>
      <c r="O16" s="64"/>
      <c r="P16" s="64"/>
      <c r="Q16" s="64"/>
      <c r="R16" s="64"/>
      <c r="S16" s="64"/>
      <c r="T16" s="64"/>
      <c r="U16" s="64"/>
      <c r="V16" s="64"/>
      <c r="W16" s="64"/>
      <c r="X16" s="64"/>
      <c r="Y16" s="65"/>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c r="BC16" s="64"/>
      <c r="BD16" s="64"/>
      <c r="BE16" s="64"/>
    </row>
    <row r="17" spans="1:57" s="3" customFormat="1" ht="25.8" thickBot="1">
      <c r="A17" s="17"/>
      <c r="B17" s="93" t="s">
        <v>35</v>
      </c>
      <c r="C17" s="33"/>
      <c r="D17" s="34">
        <v>1</v>
      </c>
      <c r="E17" s="35">
        <v>44944</v>
      </c>
      <c r="F17" s="36">
        <v>44951</v>
      </c>
      <c r="G17" s="18"/>
      <c r="H17" s="18">
        <f t="shared" si="5"/>
        <v>8</v>
      </c>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row>
    <row r="18" spans="1:57" s="3" customFormat="1" ht="25.8" thickBot="1">
      <c r="A18" s="17"/>
      <c r="B18" s="93" t="s">
        <v>34</v>
      </c>
      <c r="C18" s="33"/>
      <c r="D18" s="34">
        <v>1</v>
      </c>
      <c r="E18" s="35">
        <v>44944</v>
      </c>
      <c r="F18" s="36">
        <v>44951</v>
      </c>
      <c r="G18" s="18"/>
      <c r="H18" s="18">
        <f t="shared" si="5"/>
        <v>8</v>
      </c>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row>
    <row r="19" spans="1:57" s="3" customFormat="1" ht="25.8" thickBot="1">
      <c r="A19" s="17"/>
      <c r="B19" s="37" t="s">
        <v>28</v>
      </c>
      <c r="C19" s="38"/>
      <c r="D19" s="39"/>
      <c r="E19" s="40"/>
      <c r="F19" s="41"/>
      <c r="G19" s="18"/>
      <c r="H19" s="18" t="str">
        <f t="shared" si="5"/>
        <v/>
      </c>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row>
    <row r="20" spans="1:57" s="3" customFormat="1" ht="25.8" thickBot="1">
      <c r="A20" s="17"/>
      <c r="B20" s="37" t="s">
        <v>29</v>
      </c>
      <c r="C20" s="38"/>
      <c r="D20" s="39"/>
      <c r="E20" s="40"/>
      <c r="F20" s="41"/>
      <c r="G20" s="18"/>
      <c r="H20" s="18"/>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row>
    <row r="21" spans="1:57" s="3" customFormat="1" ht="25.8" thickBot="1">
      <c r="A21" s="17"/>
      <c r="B21" s="94" t="s">
        <v>56</v>
      </c>
      <c r="C21" s="42"/>
      <c r="D21" s="43">
        <v>0.3</v>
      </c>
      <c r="E21" s="44">
        <v>44951</v>
      </c>
      <c r="F21" s="45">
        <v>44955</v>
      </c>
      <c r="G21" s="18"/>
      <c r="H21" s="18">
        <f t="shared" si="5"/>
        <v>5</v>
      </c>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64"/>
      <c r="BC21" s="64"/>
      <c r="BD21" s="64"/>
      <c r="BE21" s="64"/>
    </row>
    <row r="22" spans="1:57" s="3" customFormat="1" ht="25.8" thickBot="1">
      <c r="A22" s="17"/>
      <c r="B22" s="94" t="s">
        <v>36</v>
      </c>
      <c r="C22" s="42"/>
      <c r="D22" s="43">
        <v>0.2</v>
      </c>
      <c r="E22" s="44">
        <v>44955</v>
      </c>
      <c r="F22" s="45">
        <v>44957</v>
      </c>
      <c r="G22" s="18"/>
      <c r="H22" s="18">
        <f t="shared" si="5"/>
        <v>3</v>
      </c>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c r="BC22" s="64"/>
      <c r="BD22" s="64"/>
      <c r="BE22" s="64"/>
    </row>
    <row r="23" spans="1:57" s="3" customFormat="1" ht="25.8" thickBot="1">
      <c r="A23" s="17"/>
      <c r="B23" s="94" t="s">
        <v>37</v>
      </c>
      <c r="C23" s="42"/>
      <c r="D23" s="43">
        <v>0.1</v>
      </c>
      <c r="E23" s="44">
        <v>44957</v>
      </c>
      <c r="F23" s="45">
        <v>44960</v>
      </c>
      <c r="G23" s="18"/>
      <c r="H23" s="18">
        <f t="shared" si="5"/>
        <v>4</v>
      </c>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c r="BD23" s="64"/>
      <c r="BE23" s="64"/>
    </row>
    <row r="24" spans="1:57" s="3" customFormat="1" ht="25.8" thickBot="1">
      <c r="A24" s="17"/>
      <c r="B24" s="94" t="s">
        <v>38</v>
      </c>
      <c r="C24" s="42"/>
      <c r="D24" s="43">
        <v>0</v>
      </c>
      <c r="E24" s="44">
        <v>44959</v>
      </c>
      <c r="F24" s="45">
        <v>44963</v>
      </c>
      <c r="G24" s="18"/>
      <c r="H24" s="18">
        <f t="shared" si="5"/>
        <v>5</v>
      </c>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64"/>
      <c r="BD24" s="64"/>
      <c r="BE24" s="64"/>
    </row>
    <row r="25" spans="1:57" s="3" customFormat="1" ht="25.8" thickBot="1">
      <c r="A25" s="17"/>
      <c r="B25" s="94" t="s">
        <v>39</v>
      </c>
      <c r="C25" s="42"/>
      <c r="D25" s="43">
        <v>0</v>
      </c>
      <c r="E25" s="44">
        <v>44959</v>
      </c>
      <c r="F25" s="45">
        <v>44963</v>
      </c>
      <c r="G25" s="18"/>
      <c r="H25" s="18">
        <f t="shared" si="5"/>
        <v>5</v>
      </c>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64"/>
      <c r="BD25" s="64"/>
      <c r="BE25" s="64"/>
    </row>
    <row r="26" spans="1:57" s="3" customFormat="1" ht="25.8" thickBot="1">
      <c r="A26" s="17"/>
      <c r="B26" s="46" t="s">
        <v>30</v>
      </c>
      <c r="C26" s="47"/>
      <c r="D26" s="48"/>
      <c r="E26" s="49"/>
      <c r="F26" s="50"/>
      <c r="G26" s="18"/>
      <c r="H26" s="18" t="str">
        <f t="shared" si="5"/>
        <v/>
      </c>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row>
    <row r="27" spans="1:57" s="3" customFormat="1" ht="25.8" thickBot="1">
      <c r="A27" s="17"/>
      <c r="B27" s="95" t="s">
        <v>47</v>
      </c>
      <c r="C27" s="51"/>
      <c r="D27" s="52">
        <v>0.9</v>
      </c>
      <c r="E27" s="53">
        <v>44955</v>
      </c>
      <c r="F27" s="54">
        <v>44960</v>
      </c>
      <c r="G27" s="18"/>
      <c r="H27" s="18">
        <f t="shared" si="5"/>
        <v>6</v>
      </c>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row>
    <row r="28" spans="1:57" s="3" customFormat="1" ht="25.8" thickBot="1">
      <c r="A28" s="17"/>
      <c r="B28" s="95" t="s">
        <v>48</v>
      </c>
      <c r="C28" s="51"/>
      <c r="D28" s="52">
        <v>0.9</v>
      </c>
      <c r="E28" s="53">
        <v>44955</v>
      </c>
      <c r="F28" s="54">
        <v>44959</v>
      </c>
      <c r="G28" s="18"/>
      <c r="H28" s="18">
        <f t="shared" si="5"/>
        <v>5</v>
      </c>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row>
    <row r="29" spans="1:57" s="3" customFormat="1" ht="25.8" thickBot="1">
      <c r="A29" s="17"/>
      <c r="B29" s="95" t="s">
        <v>49</v>
      </c>
      <c r="C29" s="51"/>
      <c r="D29" s="52">
        <v>0.9</v>
      </c>
      <c r="E29" s="53">
        <v>44960</v>
      </c>
      <c r="F29" s="54">
        <v>44963</v>
      </c>
      <c r="G29" s="18"/>
      <c r="H29" s="18">
        <f t="shared" si="5"/>
        <v>4</v>
      </c>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row>
    <row r="30" spans="1:57" s="3" customFormat="1" ht="25.8" thickBot="1">
      <c r="A30" s="17"/>
      <c r="B30" s="55" t="s">
        <v>31</v>
      </c>
      <c r="C30" s="56"/>
      <c r="D30" s="57"/>
      <c r="E30" s="58"/>
      <c r="F30" s="59"/>
      <c r="G30" s="18"/>
      <c r="H30" s="18" t="str">
        <f t="shared" si="5"/>
        <v/>
      </c>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row>
    <row r="31" spans="1:57" s="3" customFormat="1" ht="25.8" thickBot="1">
      <c r="A31" s="17"/>
      <c r="B31" s="96" t="s">
        <v>50</v>
      </c>
      <c r="C31" s="60"/>
      <c r="D31" s="61">
        <v>0.2</v>
      </c>
      <c r="E31" s="62">
        <v>44962</v>
      </c>
      <c r="F31" s="63">
        <v>44967</v>
      </c>
      <c r="G31" s="18"/>
      <c r="H31" s="18">
        <f t="shared" si="5"/>
        <v>6</v>
      </c>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row>
    <row r="32" spans="1:57" s="3" customFormat="1" ht="25.8" thickBot="1">
      <c r="A32" s="17"/>
      <c r="B32" s="96" t="s">
        <v>51</v>
      </c>
      <c r="C32" s="60"/>
      <c r="D32" s="61">
        <v>0</v>
      </c>
      <c r="E32" s="62">
        <v>44962</v>
      </c>
      <c r="F32" s="63">
        <v>44964</v>
      </c>
      <c r="G32" s="18"/>
      <c r="H32" s="18">
        <f t="shared" si="5"/>
        <v>3</v>
      </c>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c r="BD32" s="64"/>
      <c r="BE32" s="64"/>
    </row>
    <row r="33" spans="1:57" s="3" customFormat="1" ht="25.8" thickBot="1">
      <c r="A33" s="17"/>
      <c r="B33" s="96" t="s">
        <v>52</v>
      </c>
      <c r="C33" s="60"/>
      <c r="D33" s="61">
        <v>0</v>
      </c>
      <c r="E33" s="62">
        <v>44965</v>
      </c>
      <c r="F33" s="63">
        <v>44970</v>
      </c>
      <c r="G33" s="18"/>
      <c r="H33" s="18">
        <f t="shared" si="5"/>
        <v>6</v>
      </c>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row>
    <row r="34" spans="1:57" s="3" customFormat="1" ht="25.8" thickBot="1">
      <c r="A34" s="17"/>
      <c r="B34" s="96" t="s">
        <v>53</v>
      </c>
      <c r="C34" s="60"/>
      <c r="D34" s="61">
        <v>0</v>
      </c>
      <c r="E34" s="62">
        <v>44965</v>
      </c>
      <c r="F34" s="63">
        <v>44970</v>
      </c>
      <c r="G34" s="18"/>
      <c r="H34" s="18">
        <f t="shared" si="5"/>
        <v>6</v>
      </c>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row>
    <row r="35" spans="1:57" s="3" customFormat="1" ht="25.8" thickBot="1">
      <c r="A35" s="17"/>
      <c r="B35" s="96" t="s">
        <v>54</v>
      </c>
      <c r="C35" s="60"/>
      <c r="D35" s="61">
        <v>0</v>
      </c>
      <c r="E35" s="62">
        <v>44965</v>
      </c>
      <c r="F35" s="63">
        <v>44969</v>
      </c>
      <c r="G35" s="18"/>
      <c r="H35" s="18">
        <f t="shared" si="5"/>
        <v>5</v>
      </c>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c r="BD35" s="64"/>
      <c r="BE35" s="64"/>
    </row>
    <row r="36" spans="1:57" s="3" customFormat="1" ht="25.8" thickBot="1">
      <c r="A36" s="17"/>
      <c r="B36" s="55" t="s">
        <v>32</v>
      </c>
      <c r="C36" s="56"/>
      <c r="D36" s="57"/>
      <c r="E36" s="58"/>
      <c r="F36" s="59"/>
      <c r="G36" s="18"/>
      <c r="H36" s="18" t="str">
        <f t="shared" si="5"/>
        <v/>
      </c>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row>
    <row r="37" spans="1:57" s="3" customFormat="1" ht="25.8" thickBot="1">
      <c r="A37" s="17"/>
      <c r="B37" s="96" t="s">
        <v>40</v>
      </c>
      <c r="C37" s="60"/>
      <c r="D37" s="61">
        <v>0</v>
      </c>
      <c r="E37" s="62">
        <v>44962</v>
      </c>
      <c r="F37" s="63">
        <v>44967</v>
      </c>
      <c r="G37" s="18"/>
      <c r="H37" s="18">
        <f t="shared" si="5"/>
        <v>6</v>
      </c>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64"/>
      <c r="BC37" s="64"/>
      <c r="BD37" s="64"/>
      <c r="BE37" s="64"/>
    </row>
    <row r="38" spans="1:57" s="3" customFormat="1" ht="25.8" thickBot="1">
      <c r="A38" s="17"/>
      <c r="B38" s="96" t="s">
        <v>55</v>
      </c>
      <c r="C38" s="60"/>
      <c r="D38" s="61">
        <v>0</v>
      </c>
      <c r="E38" s="62">
        <v>44962</v>
      </c>
      <c r="F38" s="63">
        <v>44964</v>
      </c>
      <c r="G38" s="18"/>
      <c r="H38" s="18">
        <f t="shared" si="5"/>
        <v>3</v>
      </c>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row>
    <row r="39" spans="1:57">
      <c r="B39" s="81" t="s">
        <v>12</v>
      </c>
      <c r="C39" s="16"/>
    </row>
    <row r="40" spans="1:57">
      <c r="B40" s="80" t="s">
        <v>18</v>
      </c>
    </row>
  </sheetData>
  <mergeCells count="10">
    <mergeCell ref="AD4:AJ5"/>
    <mergeCell ref="J1:AA1"/>
    <mergeCell ref="AK4:AQ5"/>
    <mergeCell ref="AR4:AX5"/>
    <mergeCell ref="AY4:BE5"/>
    <mergeCell ref="E2:F2"/>
    <mergeCell ref="E3:F3"/>
    <mergeCell ref="I4:O5"/>
    <mergeCell ref="P4:V5"/>
    <mergeCell ref="W4:AC5"/>
  </mergeCells>
  <phoneticPr fontId="24" type="noConversion"/>
  <conditionalFormatting sqref="D8:D38">
    <cfRule type="dataBar" priority="12">
      <dataBar>
        <cfvo type="num" val="0"/>
        <cfvo type="num" val="1"/>
        <color theme="0" tint="-0.249977111117893"/>
      </dataBar>
      <extLst xmlns:x14="http://schemas.microsoft.com/office/spreadsheetml/2009/9/main">
        <ext uri="{B025F937-C7B1-47D3-B67F-A62EFF666E3E}">
          <x14:id>{B0389232-4C98-4A03-AD0E-39F63BAD1F53}</x14:id>
        </ext>
      </extLst>
    </cfRule>
  </conditionalFormatting>
  <conditionalFormatting sqref="I8:BE38">
    <cfRule type="expression" dxfId="2" priority="25">
      <formula>AND(task_start&lt;=I$6,ROUNDDOWN((task_end-task_start+1)*task_progress,0)+task_start-1&gt;=I$6)</formula>
    </cfRule>
    <cfRule type="expression" dxfId="1" priority="26" stopIfTrue="1">
      <formula>AND(task_end&gt;=I$6,task_start&lt;I$6+1)</formula>
    </cfRule>
  </conditionalFormatting>
  <conditionalFormatting sqref="I6:BE38">
    <cfRule type="expression" dxfId="0" priority="27">
      <formula>AND(today&gt;=I$6,today&lt;I$6+1)</formula>
    </cfRule>
  </conditionalFormatting>
  <dataValidations count="1">
    <dataValidation type="whole" operator="greaterThanOrEqual" allowBlank="1" showInputMessage="1" promptTitle="Display Week" prompt="Changing this number will scroll the Gantt Chart view." sqref="E4:E5">
      <formula1>1</formula1>
    </dataValidation>
  </dataValidations>
  <hyperlinks>
    <hyperlink ref="B39" r:id="rId1"/>
  </hyperlinks>
  <pageMargins left="0.35" right="0.35" top="0.35" bottom="0.5" header="0.3" footer="0.3"/>
  <pageSetup scale="62" fitToHeight="0" orientation="landscape" r:id="rId2"/>
  <headerFooter scaleWithDoc="0"/>
  <extLst xmlns:x14="http://schemas.microsoft.com/office/spreadsheetml/2009/9/main">
    <ext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D7:D41</xm:sqref>
        </x14:conditionalFormatting>
      </x14:conditionalFormattings>
    </ext>
  </extLst>
</worksheet>
</file>

<file path=xl/worksheets/sheet2.xml><?xml version="1.0" encoding="utf-8"?>
<worksheet xmlns="http://schemas.openxmlformats.org/spreadsheetml/2006/main" xmlns:r="http://schemas.openxmlformats.org/officeDocument/2006/relationships">
  <dimension ref="B1:C22"/>
  <sheetViews>
    <sheetView showGridLines="0" workbookViewId="0"/>
  </sheetViews>
  <sheetFormatPr defaultColWidth="9.09765625" defaultRowHeight="15.6"/>
  <cols>
    <col min="1" max="1" width="2.8984375" style="67" customWidth="1"/>
    <col min="2" max="2" width="87.09765625" style="74" customWidth="1"/>
    <col min="3" max="16384" width="9.09765625" style="67"/>
  </cols>
  <sheetData>
    <row r="1" spans="2:3" ht="46.5" customHeight="1">
      <c r="B1" s="66"/>
    </row>
    <row r="2" spans="2:3" s="69" customFormat="1" ht="19.2">
      <c r="B2" s="68" t="s">
        <v>7</v>
      </c>
      <c r="C2" s="68"/>
    </row>
    <row r="3" spans="2:3" s="71" customFormat="1" ht="13.5" customHeight="1">
      <c r="B3" s="70" t="s">
        <v>12</v>
      </c>
      <c r="C3" s="70"/>
    </row>
    <row r="4" spans="2:3">
      <c r="B4" s="79" t="s">
        <v>18</v>
      </c>
    </row>
    <row r="5" spans="2:3">
      <c r="B5" s="66"/>
    </row>
    <row r="6" spans="2:3" s="72" customFormat="1" ht="30">
      <c r="B6" s="75" t="s">
        <v>6</v>
      </c>
    </row>
    <row r="7" spans="2:3" ht="69.599999999999994">
      <c r="B7" s="76" t="s">
        <v>15</v>
      </c>
    </row>
    <row r="8" spans="2:3" ht="17.399999999999999">
      <c r="B8" s="73"/>
    </row>
    <row r="9" spans="2:3" s="72" customFormat="1" ht="30">
      <c r="B9" s="75" t="s">
        <v>8</v>
      </c>
    </row>
    <row r="10" spans="2:3" ht="69.599999999999994">
      <c r="B10" s="76" t="s">
        <v>16</v>
      </c>
    </row>
    <row r="11" spans="2:3">
      <c r="B11" s="77" t="s">
        <v>14</v>
      </c>
    </row>
    <row r="12" spans="2:3" ht="17.399999999999999">
      <c r="B12" s="73"/>
    </row>
    <row r="13" spans="2:3">
      <c r="B13" s="82" t="str">
        <f>HYPERLINK("https://vertex42.link/HowToMakeAGanttChart","► Watch How This Gantt Chart Was Created")</f>
        <v>► Watch How This Gantt Chart Was Created</v>
      </c>
    </row>
    <row r="14" spans="2:3" ht="17.399999999999999">
      <c r="B14" s="73"/>
    </row>
    <row r="15" spans="2:3" s="72" customFormat="1" ht="30">
      <c r="B15" s="75" t="s">
        <v>5</v>
      </c>
    </row>
    <row r="16" spans="2:3" ht="34.799999999999997">
      <c r="B16" s="76" t="s">
        <v>13</v>
      </c>
    </row>
    <row r="17" spans="2:2">
      <c r="B17" s="77" t="s">
        <v>1</v>
      </c>
    </row>
    <row r="18" spans="2:2" ht="17.399999999999999">
      <c r="B18" s="73"/>
    </row>
    <row r="19" spans="2:2" s="72" customFormat="1" ht="30">
      <c r="B19" s="75" t="s">
        <v>9</v>
      </c>
    </row>
    <row r="20" spans="2:2" ht="69.599999999999994">
      <c r="B20" s="76" t="s">
        <v>10</v>
      </c>
    </row>
    <row r="21" spans="2:2" ht="17.399999999999999">
      <c r="B21" s="73"/>
    </row>
    <row r="22" spans="2:2" ht="87">
      <c r="B22" s="76" t="s">
        <v>11</v>
      </c>
    </row>
  </sheetData>
  <phoneticPr fontId="24" type="noConversion"/>
  <hyperlinks>
    <hyperlink ref="B17" r:id="rId1"/>
    <hyperlink ref="B11" r:id="rId2"/>
    <hyperlink ref="B3" r:id="rId3"/>
    <hyperlink ref="B2" r:id="rId4"/>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User</cp:lastModifiedBy>
  <cp:lastPrinted>2019-04-24T14:39:40Z</cp:lastPrinted>
  <dcterms:created xsi:type="dcterms:W3CDTF">2017-01-09T18:01:51Z</dcterms:created>
  <dcterms:modified xsi:type="dcterms:W3CDTF">2023-02-12T21:48:28Z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